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evac-planner\"/>
    </mc:Choice>
  </mc:AlternateContent>
  <xr:revisionPtr revIDLastSave="0" documentId="13_ncr:1_{48732482-7CCF-4C85-BEA2-2D815B9D72F3}" xr6:coauthVersionLast="47" xr6:coauthVersionMax="47" xr10:uidLastSave="{00000000-0000-0000-0000-000000000000}"/>
  <bookViews>
    <workbookView xWindow="-120" yWindow="-120" windowWidth="20760" windowHeight="13200" firstSheet="1" activeTab="3" xr2:uid="{A878FE0B-7225-47D4-B16F-FD65C796803A}"/>
  </bookViews>
  <sheets>
    <sheet name="Raw_Data" sheetId="1" r:id="rId1"/>
    <sheet name="Analysis" sheetId="3" r:id="rId2"/>
    <sheet name="Charts" sheetId="5" r:id="rId3"/>
    <sheet name="Themes" sheetId="4" r:id="rId4"/>
    <sheet name="List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D13" i="4"/>
  <c r="E13" i="4"/>
  <c r="F13" i="4"/>
  <c r="G13" i="4"/>
  <c r="H13" i="4"/>
  <c r="I13" i="4"/>
  <c r="B13" i="4"/>
  <c r="C12" i="4"/>
  <c r="D12" i="4"/>
  <c r="E12" i="4"/>
  <c r="F12" i="4"/>
  <c r="G12" i="4"/>
  <c r="H12" i="4"/>
  <c r="I12" i="4"/>
  <c r="B12" i="4"/>
  <c r="C73" i="3"/>
  <c r="C74" i="3"/>
  <c r="C75" i="3"/>
  <c r="C76" i="3"/>
  <c r="C77" i="3"/>
  <c r="C78" i="3"/>
  <c r="C72" i="3"/>
  <c r="B78" i="3"/>
  <c r="B77" i="3"/>
  <c r="B76" i="3"/>
  <c r="B75" i="3"/>
  <c r="B74" i="3"/>
  <c r="B73" i="3"/>
  <c r="B72" i="3"/>
  <c r="C68" i="3"/>
  <c r="C69" i="3"/>
  <c r="C66" i="3"/>
  <c r="C67" i="3"/>
  <c r="C65" i="3"/>
  <c r="B66" i="3"/>
  <c r="B67" i="3"/>
  <c r="B68" i="3"/>
  <c r="B69" i="3"/>
  <c r="B65" i="3"/>
  <c r="B2" i="3"/>
  <c r="B62" i="3"/>
  <c r="B61" i="3"/>
  <c r="C57" i="3"/>
  <c r="C58" i="3"/>
  <c r="C59" i="3"/>
  <c r="C60" i="3"/>
  <c r="C56" i="3"/>
  <c r="B57" i="3"/>
  <c r="B58" i="3"/>
  <c r="B59" i="3"/>
  <c r="B60" i="3"/>
  <c r="B56" i="3"/>
  <c r="B53" i="3"/>
  <c r="B52" i="3"/>
  <c r="C48" i="3"/>
  <c r="C49" i="3"/>
  <c r="C50" i="3"/>
  <c r="C51" i="3"/>
  <c r="C47" i="3"/>
  <c r="B48" i="3"/>
  <c r="B49" i="3"/>
  <c r="B50" i="3"/>
  <c r="B51" i="3"/>
  <c r="B47" i="3"/>
  <c r="B38" i="3"/>
  <c r="B43" i="3"/>
  <c r="B44" i="3"/>
  <c r="C39" i="3"/>
  <c r="C40" i="3"/>
  <c r="C41" i="3"/>
  <c r="C42" i="3"/>
  <c r="C38" i="3"/>
  <c r="B39" i="3"/>
  <c r="B40" i="3"/>
  <c r="B41" i="3"/>
  <c r="B42" i="3"/>
  <c r="C30" i="3"/>
  <c r="C31" i="3"/>
  <c r="C32" i="3"/>
  <c r="C33" i="3"/>
  <c r="C34" i="3"/>
  <c r="C35" i="3"/>
  <c r="C29" i="3"/>
  <c r="B29" i="3"/>
  <c r="B30" i="3"/>
  <c r="B31" i="3"/>
  <c r="B32" i="3"/>
  <c r="B33" i="3"/>
  <c r="B34" i="3"/>
  <c r="B35" i="3"/>
  <c r="C19" i="3"/>
  <c r="C20" i="3"/>
  <c r="C21" i="3"/>
  <c r="C18" i="3"/>
  <c r="B19" i="3"/>
  <c r="B20" i="3"/>
  <c r="B21" i="3"/>
  <c r="B18" i="3"/>
  <c r="B11" i="3"/>
  <c r="B24" i="3"/>
  <c r="C24" i="3" s="1"/>
  <c r="B25" i="3"/>
  <c r="C25" i="3" s="1"/>
  <c r="B26" i="3"/>
  <c r="C26" i="3" s="1"/>
  <c r="B12" i="3"/>
  <c r="C12" i="3" s="1"/>
  <c r="B13" i="3"/>
  <c r="C13" i="3" s="1"/>
  <c r="B14" i="3"/>
  <c r="C14" i="3" s="1"/>
  <c r="B15" i="3"/>
  <c r="C15" i="3" s="1"/>
  <c r="B5" i="3"/>
  <c r="B6" i="3"/>
  <c r="C6" i="3" s="1"/>
  <c r="B7" i="3"/>
  <c r="C7" i="3" s="1"/>
  <c r="B8" i="3"/>
  <c r="C8" i="3" s="1"/>
  <c r="B1" i="3"/>
  <c r="C11" i="3" s="1"/>
  <c r="C5" i="3" l="1"/>
</calcChain>
</file>

<file path=xl/sharedStrings.xml><?xml version="1.0" encoding="utf-8"?>
<sst xmlns="http://schemas.openxmlformats.org/spreadsheetml/2006/main" count="199" uniqueCount="103">
  <si>
    <t>Respondent_ID</t>
  </si>
  <si>
    <t>Q1_Role</t>
  </si>
  <si>
    <t>Q2_MainUse</t>
  </si>
  <si>
    <t>Q3_Visualisation</t>
  </si>
  <si>
    <t>Q4_TotalEvacTime</t>
  </si>
  <si>
    <t>Q4_PercentageEvacuated</t>
  </si>
  <si>
    <t>Q4_AvgWaitingCongestion</t>
  </si>
  <si>
    <t>Q4_ExitUsed</t>
  </si>
  <si>
    <t>Q4_AlgorithmRuntime</t>
  </si>
  <si>
    <t>Q4_NodesExplored</t>
  </si>
  <si>
    <t>Q4_RiskSafetyScore</t>
  </si>
  <si>
    <t>Q5_CreateOwnLayout</t>
  </si>
  <si>
    <t>Q6_PlaceHazards</t>
  </si>
  <si>
    <t>Q7_CompareStrategies</t>
  </si>
  <si>
    <t>Q8_AutoRecommendationUseful</t>
  </si>
  <si>
    <t>Q8_BestMeans</t>
  </si>
  <si>
    <t>Q9_SimpleToolButtons</t>
  </si>
  <si>
    <t>Q9_ClearColourCoding</t>
  </si>
  <si>
    <t>Q9_LabelsTooltips</t>
  </si>
  <si>
    <t>Q9_ResetClearGrid</t>
  </si>
  <si>
    <t>Q9_SaveLoadScenarios</t>
  </si>
  <si>
    <t>Q9_ExampleScenarios</t>
  </si>
  <si>
    <t>Q9_GraphsTablesResults</t>
  </si>
  <si>
    <t>Q10_ConfusingOrDifficult</t>
  </si>
  <si>
    <t>Q11_MostAppealingFeature</t>
  </si>
  <si>
    <t>A-Level Computer Science Student</t>
  </si>
  <si>
    <t>Learning how pathfinding/routing algorithms work</t>
  </si>
  <si>
    <t>Both step-by-step and instant modes</t>
  </si>
  <si>
    <t>Yes</t>
  </si>
  <si>
    <t>Best balance of safety and speed</t>
  </si>
  <si>
    <t>Too many settings on screen at once. Also if the colours for walls, hazards, exits and people are too similar it would be hard to follow.</t>
  </si>
  <si>
    <t>A comparison mode that shows how different algorithms behave differently on the same map.</t>
  </si>
  <si>
    <t>Comparing different evacuation strategies</t>
  </si>
  <si>
    <t>Step-by-step movement of people</t>
  </si>
  <si>
    <t>Safest route</t>
  </si>
  <si>
    <t>It would be confusing if I could run a simulation without understanding what each algorithm is actually trying to optimise.</t>
  </si>
  <si>
    <t>Short explanations of each algorithm in simple terms before running the simulation.</t>
  </si>
  <si>
    <t>Teacher</t>
  </si>
  <si>
    <t>Too much technical detail without explanation would make it difficult for weaker students. It has to be visual and clear.</t>
  </si>
  <si>
    <t>A teacher mode with ready-made classroom scenarios and expected observations.</t>
  </si>
  <si>
    <t>General curiosity / experimentation</t>
  </si>
  <si>
    <t>Least congestion</t>
  </si>
  <si>
    <t>If building the map takes too long or is weird, I would probably stop using it.</t>
  </si>
  <si>
    <t>Being able to save my own scenarios and test them again after making changes.</t>
  </si>
  <si>
    <t>Learn how evacuation planning is affected by hazards and congestion</t>
  </si>
  <si>
    <t>Fastest evacuation</t>
  </si>
  <si>
    <t>If hazards aren't clearly shown or if it's hard to tell why people changed their route then the simulation wouldn't make much sense.</t>
  </si>
  <si>
    <t>A replay feature so I can watch the simulation again and focus on different parts.</t>
  </si>
  <si>
    <t>Instant final result only</t>
  </si>
  <si>
    <t>It'd be annoying if the program ran too slowly or the animations take too long every time.</t>
  </si>
  <si>
    <t>A side-by-side statistics panel comparing each algorithm after one click.</t>
  </si>
  <si>
    <t>Unsure</t>
  </si>
  <si>
    <t>I'd be confused if there were no guide as to what the numbers mean, like risk scores or algorithm statistics.</t>
  </si>
  <si>
    <t>Hover-over explanations of results.</t>
  </si>
  <si>
    <t>If lots of people overlap visually or move too fast to follow, it'd be hard to learn anything from it.</t>
  </si>
  <si>
    <t>The ability to slow down or speed up the simulation.</t>
  </si>
  <si>
    <t>If the simulator uses a lot of advanced terms without explaining them, it'd be difficult to understand or learn.</t>
  </si>
  <si>
    <t>A built-in explanation panel that links to what happens in the simulation to exam topics.</t>
  </si>
  <si>
    <t>Student interested in engineering / architecture / building design</t>
  </si>
  <si>
    <t>Other</t>
  </si>
  <si>
    <t>Not sure</t>
  </si>
  <si>
    <t>No</t>
  </si>
  <si>
    <t>No explanation to data or why an algorithm chose a path would be confusing.</t>
  </si>
  <si>
    <t>A feature that explains why one route was chosen over another.</t>
  </si>
  <si>
    <t>Total respondents</t>
  </si>
  <si>
    <t>Q1 Role</t>
  </si>
  <si>
    <t>Count</t>
  </si>
  <si>
    <t>%</t>
  </si>
  <si>
    <t>Q2 Main Use</t>
  </si>
  <si>
    <t>Q8 Auto Recommendation Useful</t>
  </si>
  <si>
    <t>Q8 Best Means</t>
  </si>
  <si>
    <t>Q3 Visualisation</t>
  </si>
  <si>
    <t>Q4 Useful Outputs</t>
  </si>
  <si>
    <t>Total evacuation time</t>
  </si>
  <si>
    <t>Percentage evacuated</t>
  </si>
  <si>
    <t>Average waiting time / congestion</t>
  </si>
  <si>
    <t>Which exit people used</t>
  </si>
  <si>
    <t>Algorithm runtime</t>
  </si>
  <si>
    <t>Number of nodes explored</t>
  </si>
  <si>
    <t>Risk/safety score</t>
  </si>
  <si>
    <t>Q5 Create Own Layout</t>
  </si>
  <si>
    <t>Average</t>
  </si>
  <si>
    <t>Median</t>
  </si>
  <si>
    <t>Q6 Place Hazards</t>
  </si>
  <si>
    <t>Q7 Compare Strategies</t>
  </si>
  <si>
    <t>Q8 Part 1 Yes</t>
  </si>
  <si>
    <t>Q9 Easiest Features</t>
  </si>
  <si>
    <t>Simple tool buttons</t>
  </si>
  <si>
    <t>Clear colour coding</t>
  </si>
  <si>
    <t>Labels/tooltips</t>
  </si>
  <si>
    <t>Reset/clear grid button</t>
  </si>
  <si>
    <t>Save/load scenarios</t>
  </si>
  <si>
    <t>Example pre-made scenarios</t>
  </si>
  <si>
    <t>Graphs/tables of results</t>
  </si>
  <si>
    <t>Q10_NeedExplanations</t>
  </si>
  <si>
    <t>Q10_VisualClarity</t>
  </si>
  <si>
    <t>Q10_TooComplex</t>
  </si>
  <si>
    <t>Q11_AlgorithmComparison</t>
  </si>
  <si>
    <t>Q11_ExplanationFeature</t>
  </si>
  <si>
    <t>Q11_SaveReplay</t>
  </si>
  <si>
    <t>Q11_ExampleScenarios</t>
  </si>
  <si>
    <t>Sum</t>
  </si>
  <si>
    <t>Q10_SlowOrTricky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</si>
</sst>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170" fontId="0" fillId="0" borderId="0" xfId="1" applyNumberFormat="1" applyFont="1"/>
    <xf numFmtId="170" fontId="0" fillId="0" borderId="0" xfId="0" applyNumberFormat="1"/>
    <xf numFmtId="0" fontId="2" fillId="0" borderId="0" xfId="0" applyFont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Q1</a:t>
            </a:r>
            <a:r>
              <a:rPr lang="en-GB" baseline="0"/>
              <a:t> </a:t>
            </a:r>
            <a:r>
              <a:rPr lang="en-GB"/>
              <a:t>Respondent</a:t>
            </a:r>
            <a:r>
              <a:rPr lang="en-GB" baseline="0"/>
              <a:t> Role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Analysis!$A$5:$A$8</c:f>
              <c:strCache>
                <c:ptCount val="4"/>
                <c:pt idx="0">
                  <c:v>A-Level Computer Science Student</c:v>
                </c:pt>
                <c:pt idx="1">
                  <c:v>Student interested in engineering / architecture / building design</c:v>
                </c:pt>
                <c:pt idx="2">
                  <c:v>Teacher</c:v>
                </c:pt>
                <c:pt idx="3">
                  <c:v>Other</c:v>
                </c:pt>
              </c:strCache>
            </c:strRef>
          </c:cat>
          <c:val>
            <c:numRef>
              <c:f>Analysis!$B$5:$B$8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0-4A82-8381-FBF9F9D69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15491664"/>
        <c:axId val="115490704"/>
      </c:barChart>
      <c:catAx>
        <c:axId val="11549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0704"/>
        <c:crosses val="autoZero"/>
        <c:auto val="1"/>
        <c:lblAlgn val="ctr"/>
        <c:lblOffset val="100"/>
        <c:noMultiLvlLbl val="0"/>
      </c:catAx>
      <c:valAx>
        <c:axId val="11549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Q2</a:t>
            </a:r>
            <a:r>
              <a:rPr lang="en-GB" baseline="0"/>
              <a:t> Use of Simulator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Analysis!$A$11:$A$15</c:f>
              <c:strCache>
                <c:ptCount val="5"/>
                <c:pt idx="0">
                  <c:v>Learning how pathfinding/routing algorithms work</c:v>
                </c:pt>
                <c:pt idx="1">
                  <c:v>Learn how evacuation planning is affected by hazards and congestion</c:v>
                </c:pt>
                <c:pt idx="2">
                  <c:v>Comparing different evacuation strategies</c:v>
                </c:pt>
                <c:pt idx="3">
                  <c:v>General curiosity / experimentation</c:v>
                </c:pt>
                <c:pt idx="4">
                  <c:v>Other</c:v>
                </c:pt>
              </c:strCache>
            </c:strRef>
          </c:cat>
          <c:val>
            <c:numRef>
              <c:f>Analysis!$B$11:$B$15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F-4E3B-B542-08159F9E3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769072"/>
        <c:axId val="1372767632"/>
      </c:barChart>
      <c:catAx>
        <c:axId val="137276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767632"/>
        <c:crosses val="autoZero"/>
        <c:auto val="1"/>
        <c:lblAlgn val="ctr"/>
        <c:lblOffset val="100"/>
        <c:noMultiLvlLbl val="0"/>
      </c:catAx>
      <c:valAx>
        <c:axId val="137276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7690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Most</a:t>
            </a:r>
            <a:r>
              <a:rPr lang="en-GB" baseline="0"/>
              <a:t> Helpful Visualisation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Analysis!$A$18:$A$21</c:f>
              <c:strCache>
                <c:ptCount val="4"/>
                <c:pt idx="0">
                  <c:v>Step-by-step movement of people</c:v>
                </c:pt>
                <c:pt idx="1">
                  <c:v>Instant final result only</c:v>
                </c:pt>
                <c:pt idx="2">
                  <c:v>Both step-by-step and instant modes</c:v>
                </c:pt>
                <c:pt idx="3">
                  <c:v>Not sure</c:v>
                </c:pt>
              </c:strCache>
            </c:strRef>
          </c:cat>
          <c:val>
            <c:numRef>
              <c:f>Analysis!$B$18:$B$21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5-46C8-976B-6D822B1B8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2183856"/>
        <c:axId val="1382184336"/>
      </c:barChart>
      <c:catAx>
        <c:axId val="1382183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84336"/>
        <c:crosses val="autoZero"/>
        <c:auto val="1"/>
        <c:lblAlgn val="ctr"/>
        <c:lblOffset val="100"/>
        <c:noMultiLvlLbl val="0"/>
      </c:catAx>
      <c:valAx>
        <c:axId val="138218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8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Q4</a:t>
            </a:r>
            <a:r>
              <a:rPr lang="en-GB" baseline="0"/>
              <a:t> Useful Program Outputs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Analysis!$A$29:$A$35</c:f>
              <c:strCache>
                <c:ptCount val="7"/>
                <c:pt idx="0">
                  <c:v>Total evacuation time</c:v>
                </c:pt>
                <c:pt idx="1">
                  <c:v>Percentage evacuated</c:v>
                </c:pt>
                <c:pt idx="2">
                  <c:v>Average waiting time / congestion</c:v>
                </c:pt>
                <c:pt idx="3">
                  <c:v>Which exit people used</c:v>
                </c:pt>
                <c:pt idx="4">
                  <c:v>Algorithm runtime</c:v>
                </c:pt>
                <c:pt idx="5">
                  <c:v>Number of nodes explored</c:v>
                </c:pt>
                <c:pt idx="6">
                  <c:v>Risk/safety score</c:v>
                </c:pt>
              </c:strCache>
            </c:strRef>
          </c:cat>
          <c:val>
            <c:numRef>
              <c:f>Analysis!$B$29:$B$35</c:f>
              <c:numCache>
                <c:formatCode>General</c:formatCode>
                <c:ptCount val="7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A-4E9C-B50B-BAB3638D7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8453712"/>
        <c:axId val="1368457552"/>
      </c:barChart>
      <c:catAx>
        <c:axId val="136845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7552"/>
        <c:crosses val="autoZero"/>
        <c:auto val="1"/>
        <c:lblAlgn val="ctr"/>
        <c:lblOffset val="100"/>
        <c:noMultiLvlLbl val="0"/>
      </c:catAx>
      <c:valAx>
        <c:axId val="136845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Q5</a:t>
            </a:r>
            <a:r>
              <a:rPr lang="en-GB" baseline="0"/>
              <a:t> Layout Creation Importance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Analysis!$B$38:$B$42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9-464B-A150-E2852303D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239264"/>
        <c:axId val="1370240224"/>
      </c:barChart>
      <c:catAx>
        <c:axId val="137023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40224"/>
        <c:crosses val="autoZero"/>
        <c:auto val="1"/>
        <c:lblAlgn val="ctr"/>
        <c:lblOffset val="100"/>
        <c:noMultiLvlLbl val="0"/>
      </c:catAx>
      <c:valAx>
        <c:axId val="13702402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392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Q6</a:t>
            </a:r>
            <a:r>
              <a:rPr lang="en-GB" baseline="0"/>
              <a:t> Hazard Placement Importance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Analysis!$B$47:$B$51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7-4E18-A859-F8D967DD7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239264"/>
        <c:axId val="1370240224"/>
      </c:barChart>
      <c:catAx>
        <c:axId val="137023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40224"/>
        <c:crosses val="autoZero"/>
        <c:auto val="1"/>
        <c:lblAlgn val="ctr"/>
        <c:lblOffset val="100"/>
        <c:noMultiLvlLbl val="0"/>
      </c:catAx>
      <c:valAx>
        <c:axId val="13702402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392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Q7</a:t>
            </a:r>
            <a:r>
              <a:rPr lang="en-GB" baseline="0"/>
              <a:t> Strategy Comparison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Analysis!$B$56:$B$60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0-4762-B7D8-E39051524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239264"/>
        <c:axId val="1370240224"/>
      </c:barChart>
      <c:catAx>
        <c:axId val="137023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40224"/>
        <c:crosses val="autoZero"/>
        <c:auto val="1"/>
        <c:lblAlgn val="ctr"/>
        <c:lblOffset val="100"/>
        <c:noMultiLvlLbl val="0"/>
      </c:catAx>
      <c:valAx>
        <c:axId val="13702402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392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Q8.1</a:t>
            </a:r>
            <a:r>
              <a:rPr lang="en-GB" baseline="0"/>
              <a:t> Auto-Recommendation Usefulness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Analysis!$A$24:$A$26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Unsure</c:v>
                </c:pt>
              </c:strCache>
            </c:strRef>
          </c:cat>
          <c:val>
            <c:numRef>
              <c:f>Analysis!$B$24:$B$26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6-421E-ABB7-A8FFB9653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8453712"/>
        <c:axId val="1368457552"/>
      </c:barChart>
      <c:catAx>
        <c:axId val="136845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7552"/>
        <c:crosses val="autoZero"/>
        <c:auto val="1"/>
        <c:lblAlgn val="ctr"/>
        <c:lblOffset val="100"/>
        <c:noMultiLvlLbl val="0"/>
      </c:catAx>
      <c:valAx>
        <c:axId val="136845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Q8.2</a:t>
            </a:r>
            <a:r>
              <a:rPr lang="en-GB" baseline="0"/>
              <a:t> Meaning of "Best" Strategy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Analysis!$A$65:$A$69</c:f>
              <c:strCache>
                <c:ptCount val="5"/>
                <c:pt idx="0">
                  <c:v>Fastest evacuation</c:v>
                </c:pt>
                <c:pt idx="1">
                  <c:v>Safest route</c:v>
                </c:pt>
                <c:pt idx="2">
                  <c:v>Best balance of safety and speed</c:v>
                </c:pt>
                <c:pt idx="3">
                  <c:v>Least congestion</c:v>
                </c:pt>
                <c:pt idx="4">
                  <c:v>Other</c:v>
                </c:pt>
              </c:strCache>
            </c:strRef>
          </c:cat>
          <c:val>
            <c:numRef>
              <c:f>Analysis!$B$65:$B$69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B-416C-98DB-0B093B6FE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8453712"/>
        <c:axId val="1368457552"/>
      </c:barChart>
      <c:catAx>
        <c:axId val="136845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7552"/>
        <c:crosses val="autoZero"/>
        <c:auto val="1"/>
        <c:lblAlgn val="ctr"/>
        <c:lblOffset val="100"/>
        <c:noMultiLvlLbl val="0"/>
      </c:catAx>
      <c:valAx>
        <c:axId val="136845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37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Q9</a:t>
            </a:r>
            <a:r>
              <a:rPr lang="en-GB" baseline="0"/>
              <a:t> Convenient Features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Analysis!$A$72:$A$78</c:f>
              <c:strCache>
                <c:ptCount val="7"/>
                <c:pt idx="0">
                  <c:v>Simple tool buttons</c:v>
                </c:pt>
                <c:pt idx="1">
                  <c:v>Clear colour coding</c:v>
                </c:pt>
                <c:pt idx="2">
                  <c:v>Labels/tooltips</c:v>
                </c:pt>
                <c:pt idx="3">
                  <c:v>Reset/clear grid button</c:v>
                </c:pt>
                <c:pt idx="4">
                  <c:v>Save/load scenarios</c:v>
                </c:pt>
                <c:pt idx="5">
                  <c:v>Example pre-made scenarios</c:v>
                </c:pt>
                <c:pt idx="6">
                  <c:v>Graphs/tables of results</c:v>
                </c:pt>
              </c:strCache>
            </c:strRef>
          </c:cat>
          <c:val>
            <c:numRef>
              <c:f>Analysis!$B$72:$B$78</c:f>
              <c:numCache>
                <c:formatCode>General</c:formatCode>
                <c:ptCount val="7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0-4CBD-94A6-3FDDFA597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8453712"/>
        <c:axId val="1368457552"/>
      </c:barChart>
      <c:catAx>
        <c:axId val="136845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7552"/>
        <c:crosses val="autoZero"/>
        <c:auto val="1"/>
        <c:lblAlgn val="ctr"/>
        <c:lblOffset val="100"/>
        <c:noMultiLvlLbl val="0"/>
      </c:catAx>
      <c:valAx>
        <c:axId val="136845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80962</xdr:rowOff>
    </xdr:from>
    <xdr:to>
      <xdr:col>7</xdr:col>
      <xdr:colOff>400050</xdr:colOff>
      <xdr:row>14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252649-D437-7361-511F-F98F04B0F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504825</xdr:colOff>
      <xdr:row>0</xdr:row>
      <xdr:rowOff>109537</xdr:rowOff>
    </xdr:from>
    <xdr:to>
      <xdr:col>15</xdr:col>
      <xdr:colOff>200025</xdr:colOff>
      <xdr:row>14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08E11-BA6C-9EC2-714E-FAD0B1DDC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120651</xdr:colOff>
      <xdr:row>15</xdr:row>
      <xdr:rowOff>98953</xdr:rowOff>
    </xdr:from>
    <xdr:to>
      <xdr:col>7</xdr:col>
      <xdr:colOff>429685</xdr:colOff>
      <xdr:row>29</xdr:row>
      <xdr:rowOff>175153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6A2C0B-1989-C8CA-B99C-F6450797D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518584</xdr:colOff>
      <xdr:row>15</xdr:row>
      <xdr:rowOff>94191</xdr:rowOff>
    </xdr:from>
    <xdr:to>
      <xdr:col>15</xdr:col>
      <xdr:colOff>179917</xdr:colOff>
      <xdr:row>29</xdr:row>
      <xdr:rowOff>170391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BC9D74-2331-CE27-3884-5B603A449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95251</xdr:colOff>
      <xdr:row>30</xdr:row>
      <xdr:rowOff>83608</xdr:rowOff>
    </xdr:from>
    <xdr:to>
      <xdr:col>7</xdr:col>
      <xdr:colOff>370418</xdr:colOff>
      <xdr:row>44</xdr:row>
      <xdr:rowOff>159808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0F0E69-C484-3A5B-ACD1-BC73AC0AE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476250</xdr:colOff>
      <xdr:row>30</xdr:row>
      <xdr:rowOff>74083</xdr:rowOff>
    </xdr:from>
    <xdr:to>
      <xdr:col>15</xdr:col>
      <xdr:colOff>137583</xdr:colOff>
      <xdr:row>44</xdr:row>
      <xdr:rowOff>150283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A03DA9-9C24-4593-BD61-0AFE59012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95250</xdr:colOff>
      <xdr:row>45</xdr:row>
      <xdr:rowOff>52917</xdr:rowOff>
    </xdr:from>
    <xdr:to>
      <xdr:col>7</xdr:col>
      <xdr:colOff>370417</xdr:colOff>
      <xdr:row>59</xdr:row>
      <xdr:rowOff>129117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822C75-01EC-47F0-B28F-2E049602C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465667</xdr:colOff>
      <xdr:row>45</xdr:row>
      <xdr:rowOff>52917</xdr:rowOff>
    </xdr:from>
    <xdr:to>
      <xdr:col>15</xdr:col>
      <xdr:colOff>127000</xdr:colOff>
      <xdr:row>59</xdr:row>
      <xdr:rowOff>129117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B93B670-AF5C-4EC9-9113-D1254124C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84667</xdr:colOff>
      <xdr:row>60</xdr:row>
      <xdr:rowOff>21167</xdr:rowOff>
    </xdr:from>
    <xdr:to>
      <xdr:col>7</xdr:col>
      <xdr:colOff>359834</xdr:colOff>
      <xdr:row>74</xdr:row>
      <xdr:rowOff>97367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F60B3D5-FCB9-4F9A-9CA5-FF5E4DDDE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455084</xdr:colOff>
      <xdr:row>60</xdr:row>
      <xdr:rowOff>21167</xdr:rowOff>
    </xdr:from>
    <xdr:to>
      <xdr:col>15</xdr:col>
      <xdr:colOff>116417</xdr:colOff>
      <xdr:row>74</xdr:row>
      <xdr:rowOff>97367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A92D255-0ED0-4E36-8672-970A90CB8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E6E379-565F-45F1-8229-ADC066F3C9DB}" name="tblResponses" displayName="tblResponses" ref="A1:Y11" totalsRowShown="0">
  <autoFilter ref="A1:Y11" xr:uid="{FDE6E379-565F-45F1-8229-ADC066F3C9DB}"/>
  <sortState xmlns:xlrd2="http://schemas.microsoft.com/office/spreadsheetml/2017/richdata2" ref="A2:Y10">
    <sortCondition ref="A1:A10"/>
  </sortState>
  <tableColumns count="25">
    <tableColumn id="1" xr3:uid="{C225C0FA-A874-40D7-9A5C-32C21F0911D8}" name="Respondent_ID"/>
    <tableColumn id="2" xr3:uid="{0E0B8E86-0535-44BA-861B-EDBFB6381E1A}" name="Q1_Role"/>
    <tableColumn id="3" xr3:uid="{08C72A61-C991-46F9-B868-EFAC169752D8}" name="Q2_MainUse"/>
    <tableColumn id="4" xr3:uid="{1B89C7FC-90FF-439E-A4DE-E0716FEFE6B3}" name="Q3_Visualisation"/>
    <tableColumn id="5" xr3:uid="{6A028D59-C1BE-403E-A9A3-47CF91FBA2BF}" name="Q4_TotalEvacTime"/>
    <tableColumn id="6" xr3:uid="{9ACAE44D-66F1-42BF-AE84-023F924250AE}" name="Q4_PercentageEvacuated"/>
    <tableColumn id="7" xr3:uid="{45C6F3BF-8529-4CA7-BA17-03D4F9F5C7BE}" name="Q4_AvgWaitingCongestion"/>
    <tableColumn id="8" xr3:uid="{07AF1191-59E0-4BC6-BF58-90AF54298754}" name="Q4_ExitUsed"/>
    <tableColumn id="9" xr3:uid="{87A3991C-1DF7-4493-9C0C-619D10A30CCA}" name="Q4_AlgorithmRuntime"/>
    <tableColumn id="10" xr3:uid="{94B9FC9A-E0ED-48FA-A6FA-AD4269E44C1E}" name="Q4_NodesExplored"/>
    <tableColumn id="11" xr3:uid="{A2CCC57A-6C15-4DA9-BC1D-10861FAC5FCC}" name="Q4_RiskSafetyScore"/>
    <tableColumn id="12" xr3:uid="{A6CAF973-6C4D-4025-B819-C6E678911C3E}" name="Q5_CreateOwnLayout"/>
    <tableColumn id="13" xr3:uid="{EC58B6DF-4327-4FE0-BA8E-348B9AA67BF6}" name="Q6_PlaceHazards"/>
    <tableColumn id="14" xr3:uid="{56B9F6E5-99CC-4413-AE4F-4F8D67E508F6}" name="Q7_CompareStrategies"/>
    <tableColumn id="15" xr3:uid="{1F0BCD17-BA50-4C6F-BACF-AF0C4088C54B}" name="Q8_AutoRecommendationUseful"/>
    <tableColumn id="16" xr3:uid="{A5931F07-F3F8-41BF-984C-D8B526CDC207}" name="Q8_BestMeans"/>
    <tableColumn id="17" xr3:uid="{E4999F43-DEE9-4E3A-9688-61CBDA7F7AE9}" name="Q9_SimpleToolButtons"/>
    <tableColumn id="18" xr3:uid="{060BD3D7-6368-40AC-A1EE-C57350BBCA8F}" name="Q9_ClearColourCoding"/>
    <tableColumn id="19" xr3:uid="{BA6F0E03-994A-4F94-9563-090109BA7DD4}" name="Q9_LabelsTooltips"/>
    <tableColumn id="20" xr3:uid="{1812A46E-6107-4F8E-8129-B5F3231DE206}" name="Q9_ResetClearGrid"/>
    <tableColumn id="21" xr3:uid="{FDC7B619-89CD-4E2D-844F-B49970EB0638}" name="Q9_SaveLoadScenarios"/>
    <tableColumn id="22" xr3:uid="{EC351CC9-3DBE-482F-BF96-92DEF2D2DFCB}" name="Q9_ExampleScenarios"/>
    <tableColumn id="23" xr3:uid="{E4E72CD1-7132-4ADE-8B51-D9388AE0CADE}" name="Q9_GraphsTablesResults"/>
    <tableColumn id="24" xr3:uid="{591D88AE-BB16-4DF8-BD61-9794D3857FD7}" name="Q10_ConfusingOrDifficult" dataDxfId="1"/>
    <tableColumn id="25" xr3:uid="{B0569F77-C2CB-4B85-BDD8-521265576BC0}" name="Q11_MostAppealingFeat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70DB-CFDA-4935-9A1C-ADB9CD9FE999}">
  <dimension ref="A1:Y11"/>
  <sheetViews>
    <sheetView zoomScale="6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Y2" sqref="Y2:Y11"/>
    </sheetView>
  </sheetViews>
  <sheetFormatPr defaultRowHeight="15" x14ac:dyDescent="0.25"/>
  <cols>
    <col min="1" max="1" width="4.140625" bestFit="1" customWidth="1"/>
    <col min="2" max="2" width="38.85546875" bestFit="1" customWidth="1"/>
    <col min="3" max="3" width="76" bestFit="1" customWidth="1"/>
    <col min="4" max="4" width="39.7109375" bestFit="1" customWidth="1"/>
    <col min="5" max="5" width="19.85546875" bestFit="1" customWidth="1"/>
    <col min="6" max="6" width="26.42578125" bestFit="1" customWidth="1"/>
    <col min="7" max="7" width="27.42578125" bestFit="1" customWidth="1"/>
    <col min="8" max="8" width="14.5703125" bestFit="1" customWidth="1"/>
    <col min="9" max="9" width="23.28515625" bestFit="1" customWidth="1"/>
    <col min="10" max="10" width="20.7109375" bestFit="1" customWidth="1"/>
    <col min="11" max="11" width="21.5703125" bestFit="1" customWidth="1"/>
    <col min="12" max="12" width="23" bestFit="1" customWidth="1"/>
    <col min="13" max="13" width="18.7109375" bestFit="1" customWidth="1"/>
    <col min="14" max="14" width="24.42578125" bestFit="1" customWidth="1"/>
    <col min="15" max="15" width="8.42578125" bestFit="1" customWidth="1"/>
    <col min="16" max="16" width="36.42578125" bestFit="1" customWidth="1"/>
    <col min="17" max="17" width="29.85546875" bestFit="1" customWidth="1"/>
    <col min="18" max="18" width="30" bestFit="1" customWidth="1"/>
    <col min="19" max="19" width="25.140625" bestFit="1" customWidth="1"/>
    <col min="20" max="20" width="26.140625" bestFit="1" customWidth="1"/>
    <col min="21" max="21" width="32" bestFit="1" customWidth="1"/>
    <col min="22" max="22" width="30.28515625" bestFit="1" customWidth="1"/>
    <col min="23" max="23" width="33.140625" bestFit="1" customWidth="1"/>
    <col min="24" max="24" width="69.28515625" customWidth="1"/>
    <col min="25" max="25" width="71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30" x14ac:dyDescent="0.25">
      <c r="A2">
        <v>1</v>
      </c>
      <c r="B2" t="s">
        <v>25</v>
      </c>
      <c r="C2" t="s">
        <v>26</v>
      </c>
      <c r="D2" t="s">
        <v>27</v>
      </c>
      <c r="E2">
        <v>1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5</v>
      </c>
      <c r="M2">
        <v>4</v>
      </c>
      <c r="N2">
        <v>5</v>
      </c>
      <c r="O2" t="s">
        <v>28</v>
      </c>
      <c r="P2" t="s">
        <v>29</v>
      </c>
      <c r="Q2">
        <v>1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 s="2" t="s">
        <v>30</v>
      </c>
      <c r="Y2" s="2" t="s">
        <v>31</v>
      </c>
    </row>
    <row r="3" spans="1:25" ht="30" x14ac:dyDescent="0.25">
      <c r="A3">
        <v>2</v>
      </c>
      <c r="B3" t="s">
        <v>25</v>
      </c>
      <c r="C3" t="s">
        <v>32</v>
      </c>
      <c r="D3" t="s">
        <v>33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4</v>
      </c>
      <c r="M3">
        <v>5</v>
      </c>
      <c r="N3">
        <v>5</v>
      </c>
      <c r="O3" t="s">
        <v>28</v>
      </c>
      <c r="P3" t="s">
        <v>34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 s="2" t="s">
        <v>35</v>
      </c>
      <c r="Y3" s="2" t="s">
        <v>36</v>
      </c>
    </row>
    <row r="4" spans="1:25" ht="30" x14ac:dyDescent="0.25">
      <c r="A4">
        <v>3</v>
      </c>
      <c r="B4" t="s">
        <v>37</v>
      </c>
      <c r="C4" t="s">
        <v>26</v>
      </c>
      <c r="D4" t="s">
        <v>27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4</v>
      </c>
      <c r="M4">
        <v>4</v>
      </c>
      <c r="N4">
        <v>5</v>
      </c>
      <c r="O4" t="s">
        <v>28</v>
      </c>
      <c r="P4" t="s">
        <v>29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 s="2" t="s">
        <v>38</v>
      </c>
      <c r="Y4" s="2" t="s">
        <v>39</v>
      </c>
    </row>
    <row r="5" spans="1:25" ht="30" x14ac:dyDescent="0.25">
      <c r="A5">
        <v>4</v>
      </c>
      <c r="B5" t="s">
        <v>25</v>
      </c>
      <c r="C5" t="s">
        <v>40</v>
      </c>
      <c r="D5" t="s">
        <v>27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5</v>
      </c>
      <c r="M5">
        <v>5</v>
      </c>
      <c r="N5">
        <v>4</v>
      </c>
      <c r="O5" t="s">
        <v>28</v>
      </c>
      <c r="P5" t="s">
        <v>41</v>
      </c>
      <c r="Q5">
        <v>1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 s="2" t="s">
        <v>42</v>
      </c>
      <c r="Y5" s="2" t="s">
        <v>43</v>
      </c>
    </row>
    <row r="6" spans="1:25" ht="30" x14ac:dyDescent="0.25">
      <c r="A6">
        <v>5</v>
      </c>
      <c r="B6" t="s">
        <v>25</v>
      </c>
      <c r="C6" t="s">
        <v>44</v>
      </c>
      <c r="D6" t="s">
        <v>33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3</v>
      </c>
      <c r="M6">
        <v>5</v>
      </c>
      <c r="N6">
        <v>4</v>
      </c>
      <c r="O6" t="s">
        <v>28</v>
      </c>
      <c r="P6" t="s">
        <v>45</v>
      </c>
      <c r="Q6">
        <v>0</v>
      </c>
      <c r="R6">
        <v>1</v>
      </c>
      <c r="S6">
        <v>0</v>
      </c>
      <c r="T6">
        <v>1</v>
      </c>
      <c r="U6">
        <v>0</v>
      </c>
      <c r="V6">
        <v>1</v>
      </c>
      <c r="W6">
        <v>0</v>
      </c>
      <c r="X6" s="2" t="s">
        <v>46</v>
      </c>
      <c r="Y6" s="2" t="s">
        <v>47</v>
      </c>
    </row>
    <row r="7" spans="1:25" ht="30" x14ac:dyDescent="0.25">
      <c r="A7">
        <v>6</v>
      </c>
      <c r="B7" t="s">
        <v>25</v>
      </c>
      <c r="C7" t="s">
        <v>26</v>
      </c>
      <c r="D7" t="s">
        <v>48</v>
      </c>
      <c r="E7">
        <v>1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4</v>
      </c>
      <c r="M7">
        <v>3</v>
      </c>
      <c r="N7">
        <v>5</v>
      </c>
      <c r="O7" t="s">
        <v>28</v>
      </c>
      <c r="P7" t="s">
        <v>45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 s="2" t="s">
        <v>49</v>
      </c>
      <c r="Y7" s="2" t="s">
        <v>50</v>
      </c>
    </row>
    <row r="8" spans="1:25" ht="30" x14ac:dyDescent="0.25">
      <c r="A8">
        <v>7</v>
      </c>
      <c r="B8" t="s">
        <v>25</v>
      </c>
      <c r="C8" t="s">
        <v>44</v>
      </c>
      <c r="D8" t="s">
        <v>27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5</v>
      </c>
      <c r="M8">
        <v>5</v>
      </c>
      <c r="N8">
        <v>4</v>
      </c>
      <c r="O8" t="s">
        <v>51</v>
      </c>
      <c r="Q8">
        <v>0</v>
      </c>
      <c r="R8">
        <v>1</v>
      </c>
      <c r="S8">
        <v>0</v>
      </c>
      <c r="T8">
        <v>0</v>
      </c>
      <c r="U8">
        <v>1</v>
      </c>
      <c r="V8">
        <v>1</v>
      </c>
      <c r="W8">
        <v>0</v>
      </c>
      <c r="X8" s="2" t="s">
        <v>52</v>
      </c>
      <c r="Y8" s="2" t="s">
        <v>53</v>
      </c>
    </row>
    <row r="9" spans="1:25" ht="30" x14ac:dyDescent="0.25">
      <c r="A9">
        <v>8</v>
      </c>
      <c r="B9" t="s">
        <v>25</v>
      </c>
      <c r="C9" t="s">
        <v>32</v>
      </c>
      <c r="D9" t="s">
        <v>33</v>
      </c>
      <c r="E9">
        <v>1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4</v>
      </c>
      <c r="M9">
        <v>4</v>
      </c>
      <c r="N9">
        <v>5</v>
      </c>
      <c r="O9" t="s">
        <v>28</v>
      </c>
      <c r="P9" t="s">
        <v>41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 s="2" t="s">
        <v>54</v>
      </c>
      <c r="Y9" s="2" t="s">
        <v>55</v>
      </c>
    </row>
    <row r="10" spans="1:25" ht="30" x14ac:dyDescent="0.25">
      <c r="A10">
        <v>9</v>
      </c>
      <c r="B10" t="s">
        <v>25</v>
      </c>
      <c r="C10" t="s">
        <v>26</v>
      </c>
      <c r="D10" t="s">
        <v>27</v>
      </c>
      <c r="E10">
        <v>1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4</v>
      </c>
      <c r="M10">
        <v>4</v>
      </c>
      <c r="N10">
        <v>5</v>
      </c>
      <c r="O10" t="s">
        <v>28</v>
      </c>
      <c r="P10" t="s">
        <v>29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1</v>
      </c>
      <c r="X10" s="2" t="s">
        <v>56</v>
      </c>
      <c r="Y10" s="2" t="s">
        <v>57</v>
      </c>
    </row>
    <row r="11" spans="1:25" ht="30" x14ac:dyDescent="0.25">
      <c r="A11">
        <v>10</v>
      </c>
      <c r="B11" t="s">
        <v>25</v>
      </c>
      <c r="C11" t="s">
        <v>44</v>
      </c>
      <c r="D11" t="s">
        <v>27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5</v>
      </c>
      <c r="M11">
        <v>4</v>
      </c>
      <c r="N11">
        <v>5</v>
      </c>
      <c r="O11" t="s">
        <v>28</v>
      </c>
      <c r="P11" t="s">
        <v>34</v>
      </c>
      <c r="Q11">
        <v>0</v>
      </c>
      <c r="R11">
        <v>1</v>
      </c>
      <c r="S11">
        <v>1</v>
      </c>
      <c r="T11">
        <v>0</v>
      </c>
      <c r="U11">
        <v>0</v>
      </c>
      <c r="V11">
        <v>1</v>
      </c>
      <c r="W11">
        <v>0</v>
      </c>
      <c r="X11" s="2" t="s">
        <v>62</v>
      </c>
      <c r="Y11" s="2" t="s">
        <v>63</v>
      </c>
    </row>
  </sheetData>
  <dataValidations count="3">
    <dataValidation type="whole" allowBlank="1" showInputMessage="1" showErrorMessage="1" sqref="A2:A11" xr:uid="{9C1886CF-DCF7-4A61-916C-34ACDE0B5D18}">
      <formula1>1</formula1>
      <formula2>999</formula2>
    </dataValidation>
    <dataValidation type="whole" allowBlank="1" showInputMessage="1" showErrorMessage="1" sqref="E2:K11 Q2:W11" xr:uid="{98A0F3C6-85F0-472E-8333-ECD46DF3233A}">
      <formula1>0</formula1>
      <formula2>1</formula2>
    </dataValidation>
    <dataValidation type="whole" allowBlank="1" showInputMessage="1" showErrorMessage="1" sqref="L2:N11" xr:uid="{F13E3238-428F-4DCE-AB5F-33772E5FA9DA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A953237-0727-491A-8B39-4C6496C888AD}">
          <x14:formula1>
            <xm:f>Lists!$A$1:$A$4</xm:f>
          </x14:formula1>
          <xm:sqref>B2:B11</xm:sqref>
        </x14:dataValidation>
        <x14:dataValidation type="list" allowBlank="1" showInputMessage="1" showErrorMessage="1" xr:uid="{FB510892-2F75-45DE-8F5C-C86C27F3939E}">
          <x14:formula1>
            <xm:f>Lists!$B$1:$B$5</xm:f>
          </x14:formula1>
          <xm:sqref>C2:C11</xm:sqref>
        </x14:dataValidation>
        <x14:dataValidation type="list" allowBlank="1" showInputMessage="1" showErrorMessage="1" xr:uid="{6882710E-464C-4DAE-ABDA-308859AFD211}">
          <x14:formula1>
            <xm:f>Lists!$D$1:$D$3</xm:f>
          </x14:formula1>
          <xm:sqref>O2:O11</xm:sqref>
        </x14:dataValidation>
        <x14:dataValidation type="list" allowBlank="1" showInputMessage="1" showErrorMessage="1" xr:uid="{70702D3F-2A45-4568-980F-EACC371DA6C8}">
          <x14:formula1>
            <xm:f>Lists!$E$1:$E$5</xm:f>
          </x14:formula1>
          <xm:sqref>P2:P11</xm:sqref>
        </x14:dataValidation>
        <x14:dataValidation type="list" allowBlank="1" showInputMessage="1" showErrorMessage="1" xr:uid="{B697E3EC-03CB-49F8-B5F2-7A6641EF9047}">
          <x14:formula1>
            <xm:f>Lists!$C$1:$C$4</xm:f>
          </x14:formula1>
          <xm:sqref>D2:D11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768B-ADB8-4041-BC43-3C5A1376F346}">
  <dimension ref="A1:C78"/>
  <sheetViews>
    <sheetView topLeftCell="A51" workbookViewId="0">
      <selection activeCell="A61" sqref="A61:A62"/>
    </sheetView>
  </sheetViews>
  <sheetFormatPr defaultRowHeight="15" x14ac:dyDescent="0.25"/>
  <sheetData>
    <row r="1" spans="1:3" x14ac:dyDescent="0.25">
      <c r="A1" t="s">
        <v>64</v>
      </c>
      <c r="B1">
        <f>COUNTA(tblResponses[Respondent_ID])</f>
        <v>10</v>
      </c>
    </row>
    <row r="2" spans="1:3" x14ac:dyDescent="0.25">
      <c r="A2" t="s">
        <v>85</v>
      </c>
      <c r="B2">
        <f>COUNTIF(tblResponses[Q8_AutoRecommendationUseful],"Yes")</f>
        <v>9</v>
      </c>
    </row>
    <row r="4" spans="1:3" x14ac:dyDescent="0.25">
      <c r="A4" s="5" t="s">
        <v>65</v>
      </c>
      <c r="B4" t="s">
        <v>66</v>
      </c>
      <c r="C4" t="s">
        <v>67</v>
      </c>
    </row>
    <row r="5" spans="1:3" x14ac:dyDescent="0.25">
      <c r="A5" t="s">
        <v>25</v>
      </c>
      <c r="B5">
        <f>COUNTIF(tblResponses[Q1_Role],A5)</f>
        <v>9</v>
      </c>
      <c r="C5" s="4">
        <f>B5/$B$1</f>
        <v>0.9</v>
      </c>
    </row>
    <row r="6" spans="1:3" x14ac:dyDescent="0.25">
      <c r="A6" t="s">
        <v>58</v>
      </c>
      <c r="B6">
        <f>COUNTIF(tblResponses[Q1_Role],A6)</f>
        <v>0</v>
      </c>
      <c r="C6" s="4">
        <f t="shared" ref="C6:C8" si="0">B6/$B$1</f>
        <v>0</v>
      </c>
    </row>
    <row r="7" spans="1:3" x14ac:dyDescent="0.25">
      <c r="A7" t="s">
        <v>37</v>
      </c>
      <c r="B7">
        <f>COUNTIF(tblResponses[Q1_Role],A7)</f>
        <v>1</v>
      </c>
      <c r="C7" s="4">
        <f t="shared" si="0"/>
        <v>0.1</v>
      </c>
    </row>
    <row r="8" spans="1:3" x14ac:dyDescent="0.25">
      <c r="A8" t="s">
        <v>59</v>
      </c>
      <c r="B8">
        <f>COUNTIF(tblResponses[Q1_Role],A8)</f>
        <v>0</v>
      </c>
      <c r="C8" s="4">
        <f t="shared" si="0"/>
        <v>0</v>
      </c>
    </row>
    <row r="10" spans="1:3" x14ac:dyDescent="0.25">
      <c r="A10" s="5" t="s">
        <v>68</v>
      </c>
      <c r="B10" t="s">
        <v>66</v>
      </c>
      <c r="C10" t="s">
        <v>67</v>
      </c>
    </row>
    <row r="11" spans="1:3" x14ac:dyDescent="0.25">
      <c r="A11" t="s">
        <v>26</v>
      </c>
      <c r="B11">
        <f>COUNTIF(tblResponses[Q2_MainUse],A11)</f>
        <v>4</v>
      </c>
      <c r="C11" s="4">
        <f>B11/$B$1</f>
        <v>0.4</v>
      </c>
    </row>
    <row r="12" spans="1:3" x14ac:dyDescent="0.25">
      <c r="A12" t="s">
        <v>44</v>
      </c>
      <c r="B12">
        <f>COUNTIF(tblResponses[Q2_MainUse],A12)</f>
        <v>3</v>
      </c>
      <c r="C12" s="4">
        <f t="shared" ref="C12:C15" si="1">B12/$B$1</f>
        <v>0.3</v>
      </c>
    </row>
    <row r="13" spans="1:3" x14ac:dyDescent="0.25">
      <c r="A13" t="s">
        <v>32</v>
      </c>
      <c r="B13">
        <f>COUNTIF(tblResponses[Q2_MainUse],A13)</f>
        <v>2</v>
      </c>
      <c r="C13" s="4">
        <f t="shared" si="1"/>
        <v>0.2</v>
      </c>
    </row>
    <row r="14" spans="1:3" x14ac:dyDescent="0.25">
      <c r="A14" t="s">
        <v>40</v>
      </c>
      <c r="B14">
        <f>COUNTIF(tblResponses[Q2_MainUse],A14)</f>
        <v>1</v>
      </c>
      <c r="C14" s="4">
        <f t="shared" si="1"/>
        <v>0.1</v>
      </c>
    </row>
    <row r="15" spans="1:3" x14ac:dyDescent="0.25">
      <c r="A15" t="s">
        <v>59</v>
      </c>
      <c r="B15">
        <f>COUNTIF(tblResponses[Q2_MainUse],A15)</f>
        <v>0</v>
      </c>
      <c r="C15" s="4">
        <f t="shared" si="1"/>
        <v>0</v>
      </c>
    </row>
    <row r="17" spans="1:3" x14ac:dyDescent="0.25">
      <c r="A17" s="5" t="s">
        <v>71</v>
      </c>
      <c r="B17" t="s">
        <v>66</v>
      </c>
      <c r="C17" t="s">
        <v>67</v>
      </c>
    </row>
    <row r="18" spans="1:3" x14ac:dyDescent="0.25">
      <c r="A18" t="s">
        <v>33</v>
      </c>
      <c r="B18">
        <f>COUNTIF(tblResponses[Q3_Visualisation],A18)</f>
        <v>3</v>
      </c>
      <c r="C18" s="4">
        <f>B18/$B$1</f>
        <v>0.3</v>
      </c>
    </row>
    <row r="19" spans="1:3" x14ac:dyDescent="0.25">
      <c r="A19" t="s">
        <v>48</v>
      </c>
      <c r="B19">
        <f>COUNTIF(tblResponses[Q3_Visualisation],A19)</f>
        <v>1</v>
      </c>
      <c r="C19" s="4">
        <f t="shared" ref="C19:C21" si="2">B19/$B$1</f>
        <v>0.1</v>
      </c>
    </row>
    <row r="20" spans="1:3" x14ac:dyDescent="0.25">
      <c r="A20" t="s">
        <v>27</v>
      </c>
      <c r="B20">
        <f>COUNTIF(tblResponses[Q3_Visualisation],A20)</f>
        <v>6</v>
      </c>
      <c r="C20" s="4">
        <f t="shared" si="2"/>
        <v>0.6</v>
      </c>
    </row>
    <row r="21" spans="1:3" x14ac:dyDescent="0.25">
      <c r="A21" s="1" t="s">
        <v>60</v>
      </c>
      <c r="B21">
        <f>COUNTIF(tblResponses[Q3_Visualisation],A21)</f>
        <v>0</v>
      </c>
      <c r="C21" s="4">
        <f t="shared" si="2"/>
        <v>0</v>
      </c>
    </row>
    <row r="23" spans="1:3" x14ac:dyDescent="0.25">
      <c r="A23" s="5" t="s">
        <v>69</v>
      </c>
      <c r="B23" t="s">
        <v>66</v>
      </c>
      <c r="C23" t="s">
        <v>67</v>
      </c>
    </row>
    <row r="24" spans="1:3" x14ac:dyDescent="0.25">
      <c r="A24" t="s">
        <v>28</v>
      </c>
      <c r="B24">
        <f>COUNTIF(tblResponses[Q8_AutoRecommendationUseful],A24)</f>
        <v>9</v>
      </c>
      <c r="C24" s="4">
        <f>B24/$B$1</f>
        <v>0.9</v>
      </c>
    </row>
    <row r="25" spans="1:3" x14ac:dyDescent="0.25">
      <c r="A25" t="s">
        <v>61</v>
      </c>
      <c r="B25">
        <f>COUNTIF(tblResponses[Q8_AutoRecommendationUseful],A25)</f>
        <v>0</v>
      </c>
      <c r="C25" s="4">
        <f t="shared" ref="C25:C26" si="3">B25/$B$1</f>
        <v>0</v>
      </c>
    </row>
    <row r="26" spans="1:3" x14ac:dyDescent="0.25">
      <c r="A26" t="s">
        <v>51</v>
      </c>
      <c r="B26">
        <f>COUNTIF(tblResponses[Q8_AutoRecommendationUseful],A26)</f>
        <v>1</v>
      </c>
      <c r="C26" s="4">
        <f t="shared" si="3"/>
        <v>0.1</v>
      </c>
    </row>
    <row r="28" spans="1:3" x14ac:dyDescent="0.25">
      <c r="A28" s="5" t="s">
        <v>72</v>
      </c>
      <c r="B28" t="s">
        <v>66</v>
      </c>
      <c r="C28" t="s">
        <v>67</v>
      </c>
    </row>
    <row r="29" spans="1:3" x14ac:dyDescent="0.25">
      <c r="A29" t="s">
        <v>73</v>
      </c>
      <c r="B29">
        <f>SUM(tblResponses[Q4_TotalEvacTime])</f>
        <v>7</v>
      </c>
      <c r="C29" s="4">
        <f>B29/$B$1</f>
        <v>0.7</v>
      </c>
    </row>
    <row r="30" spans="1:3" x14ac:dyDescent="0.25">
      <c r="A30" t="s">
        <v>74</v>
      </c>
      <c r="B30">
        <f>SUM(tblResponses[Q4_PercentageEvacuated])</f>
        <v>2</v>
      </c>
      <c r="C30" s="4">
        <f t="shared" ref="C30:C35" si="4">B30/$B$1</f>
        <v>0.2</v>
      </c>
    </row>
    <row r="31" spans="1:3" x14ac:dyDescent="0.25">
      <c r="A31" t="s">
        <v>75</v>
      </c>
      <c r="B31">
        <f>SUM(tblResponses[Q4_AvgWaitingCongestion])</f>
        <v>6</v>
      </c>
      <c r="C31" s="4">
        <f t="shared" si="4"/>
        <v>0.6</v>
      </c>
    </row>
    <row r="32" spans="1:3" x14ac:dyDescent="0.25">
      <c r="A32" t="s">
        <v>76</v>
      </c>
      <c r="B32">
        <f>SUM(tblResponses[Q4_ExitUsed])</f>
        <v>4</v>
      </c>
      <c r="C32" s="4">
        <f t="shared" si="4"/>
        <v>0.4</v>
      </c>
    </row>
    <row r="33" spans="1:3" x14ac:dyDescent="0.25">
      <c r="A33" t="s">
        <v>77</v>
      </c>
      <c r="B33">
        <f>SUM(tblResponses[Q4_AlgorithmRuntime])</f>
        <v>2</v>
      </c>
      <c r="C33" s="4">
        <f t="shared" si="4"/>
        <v>0.2</v>
      </c>
    </row>
    <row r="34" spans="1:3" x14ac:dyDescent="0.25">
      <c r="A34" t="s">
        <v>78</v>
      </c>
      <c r="B34">
        <f>SUM(tblResponses[Q4_NodesExplored])</f>
        <v>4</v>
      </c>
      <c r="C34" s="4">
        <f t="shared" si="4"/>
        <v>0.4</v>
      </c>
    </row>
    <row r="35" spans="1:3" x14ac:dyDescent="0.25">
      <c r="A35" t="s">
        <v>79</v>
      </c>
      <c r="B35">
        <f>SUM(tblResponses[Q4_RiskSafetyScore])</f>
        <v>5</v>
      </c>
      <c r="C35" s="4">
        <f t="shared" si="4"/>
        <v>0.5</v>
      </c>
    </row>
    <row r="37" spans="1:3" x14ac:dyDescent="0.25">
      <c r="A37" s="5" t="s">
        <v>80</v>
      </c>
      <c r="B37" t="s">
        <v>66</v>
      </c>
      <c r="C37" t="s">
        <v>67</v>
      </c>
    </row>
    <row r="38" spans="1:3" x14ac:dyDescent="0.25">
      <c r="A38">
        <v>1</v>
      </c>
      <c r="B38">
        <f>COUNTIF(tblResponses[Q5_CreateOwnLayout],A38)</f>
        <v>0</v>
      </c>
      <c r="C38" s="4">
        <f>B38/$B$1</f>
        <v>0</v>
      </c>
    </row>
    <row r="39" spans="1:3" x14ac:dyDescent="0.25">
      <c r="A39">
        <v>2</v>
      </c>
      <c r="B39">
        <f>COUNTIF(tblResponses[Q5_CreateOwnLayout],A39)</f>
        <v>0</v>
      </c>
      <c r="C39" s="4">
        <f t="shared" ref="C39:C42" si="5">B39/$B$1</f>
        <v>0</v>
      </c>
    </row>
    <row r="40" spans="1:3" x14ac:dyDescent="0.25">
      <c r="A40">
        <v>3</v>
      </c>
      <c r="B40">
        <f>COUNTIF(tblResponses[Q5_CreateOwnLayout],A40)</f>
        <v>1</v>
      </c>
      <c r="C40" s="4">
        <f t="shared" si="5"/>
        <v>0.1</v>
      </c>
    </row>
    <row r="41" spans="1:3" x14ac:dyDescent="0.25">
      <c r="A41">
        <v>4</v>
      </c>
      <c r="B41">
        <f>COUNTIF(tblResponses[Q5_CreateOwnLayout],A41)</f>
        <v>5</v>
      </c>
      <c r="C41" s="4">
        <f t="shared" si="5"/>
        <v>0.5</v>
      </c>
    </row>
    <row r="42" spans="1:3" x14ac:dyDescent="0.25">
      <c r="A42">
        <v>5</v>
      </c>
      <c r="B42">
        <f>COUNTIF(tblResponses[Q5_CreateOwnLayout],A42)</f>
        <v>4</v>
      </c>
      <c r="C42" s="4">
        <f t="shared" si="5"/>
        <v>0.4</v>
      </c>
    </row>
    <row r="43" spans="1:3" x14ac:dyDescent="0.25">
      <c r="A43" t="s">
        <v>81</v>
      </c>
      <c r="B43">
        <f>AVERAGE(tblResponses[Q5_CreateOwnLayout])</f>
        <v>4.3</v>
      </c>
    </row>
    <row r="44" spans="1:3" x14ac:dyDescent="0.25">
      <c r="A44" t="s">
        <v>82</v>
      </c>
      <c r="B44">
        <f>MEDIAN(tblResponses[Q5_CreateOwnLayout])</f>
        <v>4</v>
      </c>
    </row>
    <row r="46" spans="1:3" x14ac:dyDescent="0.25">
      <c r="A46" s="5" t="s">
        <v>83</v>
      </c>
      <c r="B46" t="s">
        <v>66</v>
      </c>
      <c r="C46" t="s">
        <v>67</v>
      </c>
    </row>
    <row r="47" spans="1:3" x14ac:dyDescent="0.25">
      <c r="A47">
        <v>1</v>
      </c>
      <c r="B47">
        <f>COUNTIF(tblResponses[Q6_PlaceHazards],A47)</f>
        <v>0</v>
      </c>
      <c r="C47" s="4">
        <f>B47/$B$1</f>
        <v>0</v>
      </c>
    </row>
    <row r="48" spans="1:3" x14ac:dyDescent="0.25">
      <c r="A48">
        <v>2</v>
      </c>
      <c r="B48">
        <f>COUNTIF(tblResponses[Q6_PlaceHazards],A48)</f>
        <v>0</v>
      </c>
      <c r="C48" s="4">
        <f t="shared" ref="C48:C52" si="6">B48/$B$1</f>
        <v>0</v>
      </c>
    </row>
    <row r="49" spans="1:3" x14ac:dyDescent="0.25">
      <c r="A49">
        <v>3</v>
      </c>
      <c r="B49">
        <f>COUNTIF(tblResponses[Q6_PlaceHazards],A49)</f>
        <v>1</v>
      </c>
      <c r="C49" s="4">
        <f t="shared" si="6"/>
        <v>0.1</v>
      </c>
    </row>
    <row r="50" spans="1:3" x14ac:dyDescent="0.25">
      <c r="A50">
        <v>4</v>
      </c>
      <c r="B50">
        <f>COUNTIF(tblResponses[Q6_PlaceHazards],A50)</f>
        <v>5</v>
      </c>
      <c r="C50" s="4">
        <f t="shared" si="6"/>
        <v>0.5</v>
      </c>
    </row>
    <row r="51" spans="1:3" x14ac:dyDescent="0.25">
      <c r="A51">
        <v>5</v>
      </c>
      <c r="B51">
        <f>COUNTIF(tblResponses[Q6_PlaceHazards],A51)</f>
        <v>4</v>
      </c>
      <c r="C51" s="4">
        <f t="shared" si="6"/>
        <v>0.4</v>
      </c>
    </row>
    <row r="52" spans="1:3" x14ac:dyDescent="0.25">
      <c r="A52" t="s">
        <v>81</v>
      </c>
      <c r="B52">
        <f>AVERAGE(tblResponses[Q6_PlaceHazards])</f>
        <v>4.3</v>
      </c>
    </row>
    <row r="53" spans="1:3" x14ac:dyDescent="0.25">
      <c r="A53" t="s">
        <v>82</v>
      </c>
      <c r="B53">
        <f>MEDIAN(tblResponses[Q6_PlaceHazards])</f>
        <v>4</v>
      </c>
    </row>
    <row r="55" spans="1:3" x14ac:dyDescent="0.25">
      <c r="A55" s="5" t="s">
        <v>84</v>
      </c>
      <c r="B55" t="s">
        <v>66</v>
      </c>
      <c r="C55" t="s">
        <v>67</v>
      </c>
    </row>
    <row r="56" spans="1:3" x14ac:dyDescent="0.25">
      <c r="A56">
        <v>1</v>
      </c>
      <c r="B56">
        <f>COUNTIF(tblResponses[Q7_CompareStrategies],A56)</f>
        <v>0</v>
      </c>
      <c r="C56" s="4">
        <f>B56/$B$1</f>
        <v>0</v>
      </c>
    </row>
    <row r="57" spans="1:3" x14ac:dyDescent="0.25">
      <c r="A57">
        <v>2</v>
      </c>
      <c r="B57">
        <f>COUNTIF(tblResponses[Q7_CompareStrategies],A57)</f>
        <v>0</v>
      </c>
      <c r="C57" s="4">
        <f t="shared" ref="C57:C62" si="7">B57/$B$1</f>
        <v>0</v>
      </c>
    </row>
    <row r="58" spans="1:3" x14ac:dyDescent="0.25">
      <c r="A58">
        <v>3</v>
      </c>
      <c r="B58">
        <f>COUNTIF(tblResponses[Q7_CompareStrategies],A58)</f>
        <v>0</v>
      </c>
      <c r="C58" s="4">
        <f t="shared" si="7"/>
        <v>0</v>
      </c>
    </row>
    <row r="59" spans="1:3" x14ac:dyDescent="0.25">
      <c r="A59">
        <v>4</v>
      </c>
      <c r="B59">
        <f>COUNTIF(tblResponses[Q7_CompareStrategies],A59)</f>
        <v>3</v>
      </c>
      <c r="C59" s="4">
        <f t="shared" si="7"/>
        <v>0.3</v>
      </c>
    </row>
    <row r="60" spans="1:3" x14ac:dyDescent="0.25">
      <c r="A60">
        <v>5</v>
      </c>
      <c r="B60">
        <f>COUNTIF(tblResponses[Q7_CompareStrategies],A60)</f>
        <v>7</v>
      </c>
      <c r="C60" s="4">
        <f t="shared" si="7"/>
        <v>0.7</v>
      </c>
    </row>
    <row r="61" spans="1:3" x14ac:dyDescent="0.25">
      <c r="A61" t="s">
        <v>81</v>
      </c>
      <c r="B61">
        <f>AVERAGE(tblResponses[Q7_CompareStrategies])</f>
        <v>4.7</v>
      </c>
    </row>
    <row r="62" spans="1:3" x14ac:dyDescent="0.25">
      <c r="A62" t="s">
        <v>82</v>
      </c>
      <c r="B62">
        <f>MEDIAN(tblResponses[Q7_CompareStrategies])</f>
        <v>5</v>
      </c>
    </row>
    <row r="64" spans="1:3" x14ac:dyDescent="0.25">
      <c r="A64" s="5" t="s">
        <v>70</v>
      </c>
      <c r="B64" t="s">
        <v>66</v>
      </c>
      <c r="C64" t="s">
        <v>67</v>
      </c>
    </row>
    <row r="65" spans="1:3" x14ac:dyDescent="0.25">
      <c r="A65" t="s">
        <v>45</v>
      </c>
      <c r="B65">
        <f>COUNTIFS(tblResponses[Q8_AutoRecommendationUseful],"Yes",tblResponses[Q8_BestMeans],A65)</f>
        <v>2</v>
      </c>
      <c r="C65" s="4">
        <f>B65/$B$2</f>
        <v>0.22222222222222221</v>
      </c>
    </row>
    <row r="66" spans="1:3" x14ac:dyDescent="0.25">
      <c r="A66" t="s">
        <v>34</v>
      </c>
      <c r="B66">
        <f>COUNTIFS(tblResponses[Q8_AutoRecommendationUseful],"Yes",tblResponses[Q8_BestMeans],A66)</f>
        <v>2</v>
      </c>
      <c r="C66" s="4">
        <f t="shared" ref="C66:C69" si="8">B66/$B$2</f>
        <v>0.22222222222222221</v>
      </c>
    </row>
    <row r="67" spans="1:3" x14ac:dyDescent="0.25">
      <c r="A67" t="s">
        <v>29</v>
      </c>
      <c r="B67">
        <f>COUNTIFS(tblResponses[Q8_AutoRecommendationUseful],"Yes",tblResponses[Q8_BestMeans],A67)</f>
        <v>3</v>
      </c>
      <c r="C67" s="4">
        <f t="shared" si="8"/>
        <v>0.33333333333333331</v>
      </c>
    </row>
    <row r="68" spans="1:3" x14ac:dyDescent="0.25">
      <c r="A68" t="s">
        <v>41</v>
      </c>
      <c r="B68">
        <f>COUNTIFS(tblResponses[Q8_AutoRecommendationUseful],"Yes",tblResponses[Q8_BestMeans],A68)</f>
        <v>2</v>
      </c>
      <c r="C68" s="4">
        <f>B68/$B$2</f>
        <v>0.22222222222222221</v>
      </c>
    </row>
    <row r="69" spans="1:3" x14ac:dyDescent="0.25">
      <c r="A69" t="s">
        <v>59</v>
      </c>
      <c r="B69">
        <f>COUNTIFS(tblResponses[Q8_AutoRecommendationUseful],"Yes",tblResponses[Q8_BestMeans],A69)</f>
        <v>0</v>
      </c>
      <c r="C69" s="4">
        <f t="shared" si="8"/>
        <v>0</v>
      </c>
    </row>
    <row r="71" spans="1:3" x14ac:dyDescent="0.25">
      <c r="A71" s="5" t="s">
        <v>86</v>
      </c>
      <c r="B71" t="s">
        <v>66</v>
      </c>
      <c r="C71" t="s">
        <v>67</v>
      </c>
    </row>
    <row r="72" spans="1:3" x14ac:dyDescent="0.25">
      <c r="A72" t="s">
        <v>87</v>
      </c>
      <c r="B72">
        <f>SUM(tblResponses[Q9_SimpleToolButtons])</f>
        <v>4</v>
      </c>
      <c r="C72" s="3">
        <f>B72/$B$1</f>
        <v>0.4</v>
      </c>
    </row>
    <row r="73" spans="1:3" x14ac:dyDescent="0.25">
      <c r="A73" t="s">
        <v>88</v>
      </c>
      <c r="B73">
        <f>SUM(tblResponses[Q9_ClearColourCoding])</f>
        <v>6</v>
      </c>
      <c r="C73" s="3">
        <f t="shared" ref="C73:C78" si="9">B73/$B$1</f>
        <v>0.6</v>
      </c>
    </row>
    <row r="74" spans="1:3" x14ac:dyDescent="0.25">
      <c r="A74" t="s">
        <v>89</v>
      </c>
      <c r="B74">
        <f>SUM(tblResponses[Q9_LabelsTooltips])</f>
        <v>5</v>
      </c>
      <c r="C74" s="3">
        <f t="shared" si="9"/>
        <v>0.5</v>
      </c>
    </row>
    <row r="75" spans="1:3" x14ac:dyDescent="0.25">
      <c r="A75" t="s">
        <v>90</v>
      </c>
      <c r="B75">
        <f>SUM(tblResponses[Q9_ResetClearGrid])</f>
        <v>3</v>
      </c>
      <c r="C75" s="3">
        <f t="shared" si="9"/>
        <v>0.3</v>
      </c>
    </row>
    <row r="76" spans="1:3" x14ac:dyDescent="0.25">
      <c r="A76" t="s">
        <v>91</v>
      </c>
      <c r="B76">
        <f>SUM(tblResponses[Q9_SaveLoadScenarios])</f>
        <v>2</v>
      </c>
      <c r="C76" s="3">
        <f t="shared" si="9"/>
        <v>0.2</v>
      </c>
    </row>
    <row r="77" spans="1:3" x14ac:dyDescent="0.25">
      <c r="A77" t="s">
        <v>92</v>
      </c>
      <c r="B77">
        <f>SUM(tblResponses[Q9_ExampleScenarios])</f>
        <v>6</v>
      </c>
      <c r="C77" s="3">
        <f t="shared" si="9"/>
        <v>0.6</v>
      </c>
    </row>
    <row r="78" spans="1:3" x14ac:dyDescent="0.25">
      <c r="A78" t="s">
        <v>93</v>
      </c>
      <c r="B78">
        <f>SUM(tblResponses[Q9_GraphsTablesResults])</f>
        <v>4</v>
      </c>
      <c r="C78" s="3">
        <f t="shared" si="9"/>
        <v>0.4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EEC6-5AD3-49F9-803D-8284F2074072}">
  <dimension ref="A1"/>
  <sheetViews>
    <sheetView topLeftCell="A31" zoomScale="80" workbookViewId="0">
      <selection activeCell="I76" sqref="I7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87C8-95AA-443C-8FAC-1469F52C1F25}">
  <dimension ref="A1:I13"/>
  <sheetViews>
    <sheetView tabSelected="1" topLeftCell="C1" zoomScale="94" workbookViewId="0">
      <selection activeCell="C19" sqref="C19"/>
    </sheetView>
  </sheetViews>
  <sheetFormatPr defaultRowHeight="15" x14ac:dyDescent="0.25"/>
  <cols>
    <col min="1" max="1" width="16" customWidth="1"/>
    <col min="2" max="2" width="24.85546875" customWidth="1"/>
    <col min="3" max="3" width="29.28515625" customWidth="1"/>
    <col min="4" max="4" width="23.42578125" customWidth="1"/>
    <col min="5" max="5" width="22.42578125" customWidth="1"/>
    <col min="6" max="6" width="32" customWidth="1"/>
    <col min="7" max="7" width="25" customWidth="1"/>
    <col min="8" max="8" width="17.5703125" customWidth="1"/>
    <col min="9" max="9" width="23.7109375" customWidth="1"/>
  </cols>
  <sheetData>
    <row r="1" spans="1:9" ht="13.5" customHeight="1" x14ac:dyDescent="0.25">
      <c r="A1" s="6" t="s">
        <v>0</v>
      </c>
      <c r="B1" s="7" t="s">
        <v>94</v>
      </c>
      <c r="C1" s="7" t="s">
        <v>95</v>
      </c>
      <c r="D1" s="7" t="s">
        <v>96</v>
      </c>
      <c r="E1" s="7" t="s">
        <v>102</v>
      </c>
      <c r="F1" s="7" t="s">
        <v>97</v>
      </c>
      <c r="G1" s="7" t="s">
        <v>98</v>
      </c>
      <c r="H1" s="7" t="s">
        <v>99</v>
      </c>
      <c r="I1" s="7" t="s">
        <v>100</v>
      </c>
    </row>
    <row r="2" spans="1:9" x14ac:dyDescent="0.25">
      <c r="A2">
        <v>1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</row>
    <row r="3" spans="1:9" x14ac:dyDescent="0.25">
      <c r="A3">
        <v>2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</row>
    <row r="4" spans="1:9" x14ac:dyDescent="0.25">
      <c r="A4">
        <v>3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</row>
    <row r="5" spans="1:9" x14ac:dyDescent="0.25">
      <c r="A5">
        <v>4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</row>
    <row r="6" spans="1:9" x14ac:dyDescent="0.25">
      <c r="A6">
        <v>5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</row>
    <row r="7" spans="1:9" x14ac:dyDescent="0.25">
      <c r="A7">
        <v>6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</row>
    <row r="8" spans="1:9" x14ac:dyDescent="0.25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</row>
    <row r="9" spans="1:9" x14ac:dyDescent="0.25">
      <c r="A9">
        <v>8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</row>
    <row r="10" spans="1:9" x14ac:dyDescent="0.25">
      <c r="A10">
        <v>9</v>
      </c>
      <c r="B10">
        <v>1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</row>
    <row r="11" spans="1:9" x14ac:dyDescent="0.25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</row>
    <row r="12" spans="1:9" x14ac:dyDescent="0.25">
      <c r="A12" t="s">
        <v>101</v>
      </c>
      <c r="B12">
        <f>SUM(B$2:B$11)</f>
        <v>5</v>
      </c>
      <c r="C12">
        <f t="shared" ref="C12:I12" si="0">SUM(C$2:C$11)</f>
        <v>4</v>
      </c>
      <c r="D12">
        <f t="shared" si="0"/>
        <v>2</v>
      </c>
      <c r="E12">
        <f t="shared" si="0"/>
        <v>2</v>
      </c>
      <c r="F12">
        <f t="shared" si="0"/>
        <v>3</v>
      </c>
      <c r="G12">
        <f t="shared" si="0"/>
        <v>6</v>
      </c>
      <c r="H12">
        <f t="shared" si="0"/>
        <v>2</v>
      </c>
      <c r="I12">
        <f t="shared" si="0"/>
        <v>1</v>
      </c>
    </row>
    <row r="13" spans="1:9" x14ac:dyDescent="0.25">
      <c r="A13" t="s">
        <v>67</v>
      </c>
      <c r="B13" s="4">
        <f>B$12/Analysis!$B$1</f>
        <v>0.5</v>
      </c>
      <c r="C13" s="4">
        <f>C$12/Analysis!$B$1</f>
        <v>0.4</v>
      </c>
      <c r="D13" s="4">
        <f>D$12/Analysis!$B$1</f>
        <v>0.2</v>
      </c>
      <c r="E13" s="4">
        <f>E$12/Analysis!$B$1</f>
        <v>0.2</v>
      </c>
      <c r="F13" s="4">
        <f>F$12/Analysis!$B$1</f>
        <v>0.3</v>
      </c>
      <c r="G13" s="4">
        <f>G$12/Analysis!$B$1</f>
        <v>0.6</v>
      </c>
      <c r="H13" s="4">
        <f>H$12/Analysis!$B$1</f>
        <v>0.2</v>
      </c>
      <c r="I13" s="4">
        <f>I$12/Analysis!$B$1</f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89CB-2BD5-40D9-B1F8-22CAE847E573}">
  <dimension ref="A1:E5"/>
  <sheetViews>
    <sheetView workbookViewId="0">
      <selection activeCell="C4" sqref="C4"/>
    </sheetView>
  </sheetViews>
  <sheetFormatPr defaultRowHeight="15" x14ac:dyDescent="0.25"/>
  <sheetData>
    <row r="1" spans="1:5" x14ac:dyDescent="0.25">
      <c r="A1" t="s">
        <v>25</v>
      </c>
      <c r="B1" t="s">
        <v>26</v>
      </c>
      <c r="C1" t="s">
        <v>33</v>
      </c>
      <c r="D1" t="s">
        <v>28</v>
      </c>
      <c r="E1" t="s">
        <v>45</v>
      </c>
    </row>
    <row r="2" spans="1:5" x14ac:dyDescent="0.25">
      <c r="A2" t="s">
        <v>58</v>
      </c>
      <c r="B2" t="s">
        <v>44</v>
      </c>
      <c r="C2" t="s">
        <v>48</v>
      </c>
      <c r="D2" t="s">
        <v>61</v>
      </c>
      <c r="E2" t="s">
        <v>34</v>
      </c>
    </row>
    <row r="3" spans="1:5" x14ac:dyDescent="0.25">
      <c r="A3" t="s">
        <v>37</v>
      </c>
      <c r="B3" t="s">
        <v>32</v>
      </c>
      <c r="C3" t="s">
        <v>27</v>
      </c>
      <c r="D3" t="s">
        <v>51</v>
      </c>
      <c r="E3" t="s">
        <v>29</v>
      </c>
    </row>
    <row r="4" spans="1:5" x14ac:dyDescent="0.25">
      <c r="A4" t="s">
        <v>59</v>
      </c>
      <c r="B4" t="s">
        <v>40</v>
      </c>
      <c r="C4" s="1" t="s">
        <v>60</v>
      </c>
      <c r="E4" t="s">
        <v>41</v>
      </c>
    </row>
    <row r="5" spans="1:5" x14ac:dyDescent="0.25">
      <c r="B5" t="s">
        <v>59</v>
      </c>
      <c r="E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Analysis</vt:lpstr>
      <vt:lpstr>Charts</vt:lpstr>
      <vt:lpstr>Themes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Fernandes</dc:creator>
  <cp:lastModifiedBy>Angelo Fernandes</cp:lastModifiedBy>
  <dcterms:created xsi:type="dcterms:W3CDTF">2026-03-07T19:42:09Z</dcterms:created>
  <dcterms:modified xsi:type="dcterms:W3CDTF">2026-03-09T02:14:42Z</dcterms:modified>
</cp:coreProperties>
</file>